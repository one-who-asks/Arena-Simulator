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dfar\Desktop\"/>
    </mc:Choice>
  </mc:AlternateContent>
  <xr:revisionPtr revIDLastSave="0" documentId="13_ncr:1_{E7481C18-57BD-4209-9FDF-54558D5E9B1C}" xr6:coauthVersionLast="47" xr6:coauthVersionMax="47" xr10:uidLastSave="{00000000-0000-0000-0000-000000000000}"/>
  <bookViews>
    <workbookView xWindow="-103" yWindow="-103" windowWidth="22149" windowHeight="13200" xr2:uid="{6ABE10AB-8273-42E6-BF68-AC47C7702F3D}"/>
  </bookViews>
  <sheets>
    <sheet name="Introduction" sheetId="5" r:id="rId1"/>
    <sheet name="Underground Experiment" sheetId="1" r:id="rId2"/>
    <sheet name="Arena Experiment" sheetId="2" r:id="rId3"/>
    <sheet name="Results page 1" sheetId="3" r:id="rId4"/>
    <sheet name="Results page 2" sheetId="4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3" l="1"/>
  <c r="B14" i="3"/>
  <c r="B13" i="3"/>
  <c r="B12" i="3"/>
  <c r="B16" i="4"/>
  <c r="B15" i="4"/>
  <c r="B14" i="4"/>
  <c r="B13" i="4"/>
  <c r="N16" i="2"/>
  <c r="N15" i="2"/>
  <c r="N14" i="2"/>
  <c r="N13" i="2"/>
  <c r="H7" i="2"/>
  <c r="N15" i="1"/>
  <c r="N13" i="1"/>
  <c r="N14" i="1"/>
  <c r="N12" i="1"/>
  <c r="H7" i="1"/>
</calcChain>
</file>

<file path=xl/sharedStrings.xml><?xml version="1.0" encoding="utf-8"?>
<sst xmlns="http://schemas.openxmlformats.org/spreadsheetml/2006/main" count="167" uniqueCount="85">
  <si>
    <t>Match</t>
  </si>
  <si>
    <t>Result</t>
  </si>
  <si>
    <t>Resources:</t>
  </si>
  <si>
    <t>Run Stats:</t>
  </si>
  <si>
    <t>Total Stats:</t>
  </si>
  <si>
    <t>Total Runs:</t>
  </si>
  <si>
    <t>Total Wins:</t>
  </si>
  <si>
    <t>Total Loss:</t>
  </si>
  <si>
    <t>Gold:</t>
  </si>
  <si>
    <t>Packs:</t>
  </si>
  <si>
    <t>Total Flips:</t>
  </si>
  <si>
    <t>Heads Count:</t>
  </si>
  <si>
    <t>Tails Count:</t>
  </si>
  <si>
    <t>Win Rate:</t>
  </si>
  <si>
    <t>Wins per Run:</t>
  </si>
  <si>
    <t>Hero Skin:</t>
  </si>
  <si>
    <t>Gold Packs:</t>
  </si>
  <si>
    <t>Experiment Stats:</t>
  </si>
  <si>
    <t>Experiments Run:</t>
  </si>
  <si>
    <t>Gold per Pack:</t>
  </si>
  <si>
    <t>Initial Gold:</t>
  </si>
  <si>
    <t>Experiments to Run:</t>
  </si>
  <si>
    <t>Match 1:</t>
  </si>
  <si>
    <t>Heads</t>
  </si>
  <si>
    <t>Match 2:</t>
  </si>
  <si>
    <t>Match 3:</t>
  </si>
  <si>
    <t>Match 4:</t>
  </si>
  <si>
    <t>Match 5:</t>
  </si>
  <si>
    <t>User Parms:</t>
  </si>
  <si>
    <t>Cumulative Runs:</t>
  </si>
  <si>
    <t>Cumulative Wins:</t>
  </si>
  <si>
    <t>Cumulative Loss:</t>
  </si>
  <si>
    <t>Cumulative Gold Spent:</t>
  </si>
  <si>
    <t>Cumulative Packs Earned:</t>
  </si>
  <si>
    <t>Cumulative Gold Packs Earned:</t>
  </si>
  <si>
    <t>Skins Earned:</t>
  </si>
  <si>
    <t>Overall WR:</t>
  </si>
  <si>
    <t>Overall Gold per Pack:</t>
  </si>
  <si>
    <t>Overall Wins per Run:</t>
  </si>
  <si>
    <t>Gold Packs per Experiment:</t>
  </si>
  <si>
    <t>Dust:</t>
  </si>
  <si>
    <t>Rares:</t>
  </si>
  <si>
    <t>Epics:</t>
  </si>
  <si>
    <t>Cumulative Rares Earned:</t>
  </si>
  <si>
    <t>Cumulative Epics Earned:</t>
  </si>
  <si>
    <t>Cumulative Dust Earned:</t>
  </si>
  <si>
    <t>Arena Experiment</t>
  </si>
  <si>
    <t>Underground Experiment</t>
  </si>
  <si>
    <t>Overall Gold per Award:</t>
  </si>
  <si>
    <t>Infinite Treshold:</t>
  </si>
  <si>
    <t>Infinite Players Detected:</t>
  </si>
  <si>
    <t>Parameter Definitions</t>
  </si>
  <si>
    <t>How many players do you want to participate in the experiment?</t>
  </si>
  <si>
    <t>How much gold do you want to give each player?</t>
  </si>
  <si>
    <t>How good should each player play play?</t>
  </si>
  <si>
    <t>How many runs should a single player finish before being considered Infinite?</t>
  </si>
  <si>
    <t>Macro Buttons</t>
  </si>
  <si>
    <t>Play:</t>
  </si>
  <si>
    <t>Reset:</t>
  </si>
  <si>
    <t>RunExp:</t>
  </si>
  <si>
    <t>Plays 1 run of Underground/Arena. Very fast to compute.</t>
  </si>
  <si>
    <t>Resets everything back to Initial Conditions. Very fast to compute.</t>
  </si>
  <si>
    <t xml:space="preserve">Repeatedly hits the Play button until the player runs out of gold. Then Resets initial conditions. </t>
  </si>
  <si>
    <t>Then goes again based on the number of experiments you are trying to run. Compute time is</t>
  </si>
  <si>
    <t>Introduction</t>
  </si>
  <si>
    <t>This is a simulation for Hearthstone's Underground and Arena Mode. The simulator aims to determine what the average</t>
  </si>
  <si>
    <t>prize cost is for various levels of play skill. All prizes have been adjusted to the new Reward pool laid out in Patch 33.0.</t>
  </si>
  <si>
    <t>The simulator lets you pick how many participants to include in the experiment. Then you may decide how much initial</t>
  </si>
  <si>
    <t>Gold to give them, and what their play skill is. Each player will play as many Arena runs as they can with their initial Gold</t>
  </si>
  <si>
    <t>and with Tickets/Gold they earn from their runs. To make it easier to code, all Ticket Rewards are automatically converted</t>
  </si>
  <si>
    <r>
      <t xml:space="preserve">to gold. After each run, stats are captured in the </t>
    </r>
    <r>
      <rPr>
        <b/>
        <sz val="11"/>
        <color theme="0"/>
        <rFont val="Calibri"/>
        <family val="2"/>
        <scheme val="minor"/>
      </rPr>
      <t>Total Stats</t>
    </r>
    <r>
      <rPr>
        <sz val="11"/>
        <color theme="0"/>
        <rFont val="Calibri"/>
        <family val="2"/>
        <scheme val="minor"/>
      </rPr>
      <t xml:space="preserve"> and </t>
    </r>
    <r>
      <rPr>
        <b/>
        <sz val="11"/>
        <color theme="0"/>
        <rFont val="Calibri"/>
        <family val="2"/>
        <scheme val="minor"/>
      </rPr>
      <t>Resources</t>
    </r>
    <r>
      <rPr>
        <sz val="11"/>
        <color theme="0"/>
        <rFont val="Calibri"/>
        <family val="2"/>
        <scheme val="minor"/>
      </rPr>
      <t xml:space="preserve"> columns. After each Experiment, stats are then</t>
    </r>
  </si>
  <si>
    <r>
      <t>pushed to the</t>
    </r>
    <r>
      <rPr>
        <b/>
        <sz val="11"/>
        <color theme="0"/>
        <rFont val="Calibri"/>
        <family val="2"/>
        <scheme val="minor"/>
      </rPr>
      <t xml:space="preserve"> Experiment Stats</t>
    </r>
    <r>
      <rPr>
        <sz val="11"/>
        <color theme="0"/>
        <rFont val="Calibri"/>
        <family val="2"/>
        <scheme val="minor"/>
      </rPr>
      <t xml:space="preserve"> column. Then the next Experiment/Participant starts it all over again.</t>
    </r>
  </si>
  <si>
    <t>Tips</t>
  </si>
  <si>
    <t>Do not try to run Large numbers of Experiments. Use small numbers first to get a feel for how long it takes. If you feel like it</t>
  </si>
  <si>
    <r>
      <t xml:space="preserve">is taking too long press the </t>
    </r>
    <r>
      <rPr>
        <b/>
        <sz val="11"/>
        <color theme="0"/>
        <rFont val="Calibri"/>
        <family val="2"/>
        <scheme val="minor"/>
      </rPr>
      <t>ESC key</t>
    </r>
    <r>
      <rPr>
        <sz val="11"/>
        <color theme="0"/>
        <rFont val="Calibri"/>
        <family val="2"/>
        <scheme val="minor"/>
      </rPr>
      <t xml:space="preserve"> to kill the macro. It does not take a lot before players start going infininte. Think about</t>
    </r>
  </si>
  <si>
    <t>how many runs you could do in a month. The simulator blows that out of the water in seconds. You do not need to set the</t>
  </si>
  <si>
    <t>threshold for infinite players to 1000 or anything silly like that. I think even 250 is over kill. The average Arena player doesn't</t>
  </si>
  <si>
    <t>even do that much in a year. A higher threshold does filter out more players for being "truly infinite" but I think it's also</t>
  </si>
  <si>
    <t>important to consider reality.</t>
  </si>
  <si>
    <t>ESC Key:</t>
  </si>
  <si>
    <t>Kills the Simulation.</t>
  </si>
  <si>
    <t>long to very long depending on number of experiments, initial gold, WR, and Threshold for Infinite</t>
  </si>
  <si>
    <t>players.</t>
  </si>
  <si>
    <t>Infinite Threshold:</t>
  </si>
  <si>
    <t>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</si>
</sst>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10" fontId="0" fillId="0" borderId="0" xfId="1" applyNumberFormat="1" applyFont="1" applyAlignment="1">
      <alignment horizontal="left"/>
    </xf>
    <xf numFmtId="0" fontId="3" fillId="0" borderId="0" xfId="0" applyFont="1"/>
    <xf numFmtId="2" fontId="0" fillId="0" borderId="0" xfId="0" applyNumberFormat="1" applyAlignment="1">
      <alignment horizontal="left"/>
    </xf>
    <xf numFmtId="0" fontId="0" fillId="2" borderId="0" xfId="0" applyFill="1"/>
    <xf numFmtId="0" fontId="6" fillId="2" borderId="0" xfId="0" applyFont="1" applyFill="1"/>
    <xf numFmtId="0" fontId="5" fillId="2" borderId="0" xfId="0" applyFont="1" applyFill="1"/>
    <xf numFmtId="0" fontId="6" fillId="2" borderId="0" xfId="0" applyFont="1" applyFill="1" applyAlignment="1">
      <alignment horizontal="left"/>
    </xf>
    <xf numFmtId="0" fontId="4" fillId="2" borderId="0" xfId="0" applyFont="1" applyFill="1" applyAlignment="1">
      <alignment horizontal="right"/>
    </xf>
    <xf numFmtId="0" fontId="2" fillId="2" borderId="0" xfId="0" applyFont="1" applyFill="1"/>
    <xf numFmtId="0" fontId="4" fillId="2" borderId="0" xfId="0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97971</xdr:colOff>
      <xdr:row>8</xdr:row>
      <xdr:rowOff>10885</xdr:rowOff>
    </xdr:from>
    <xdr:to>
      <xdr:col>11</xdr:col>
      <xdr:colOff>0</xdr:colOff>
      <xdr:row>16</xdr:row>
      <xdr:rowOff>146956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D07FF8A6-722E-41E0-A662-AECD987D0682}"/>
            </a:ext>
          </a:extLst>
        </xdr:cNvPr>
        <xdr:cNvGrpSpPr/>
      </xdr:nvGrpSpPr>
      <xdr:grpSpPr>
        <a:xfrm>
          <a:off x="2449285" y="1491342"/>
          <a:ext cx="3145972" cy="1616528"/>
          <a:chOff x="2275115" y="3243943"/>
          <a:chExt cx="2547258" cy="1616528"/>
        </a:xfrm>
      </xdr:grpSpPr>
      <xdr:sp macro="[0]!UGGame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B0906B0F-4641-1090-F54C-6890FE6956B3}"/>
              </a:ext>
            </a:extLst>
          </xdr:cNvPr>
          <xdr:cNvSpPr/>
        </xdr:nvSpPr>
        <xdr:spPr>
          <a:xfrm>
            <a:off x="2275115" y="3243943"/>
            <a:ext cx="1289957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PLAY</a:t>
            </a:r>
          </a:p>
        </xdr:txBody>
      </xdr:sp>
      <xdr:sp macro="[0]!Reset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B3BB593-48F1-2214-B874-A4C9EC92B79B}"/>
              </a:ext>
            </a:extLst>
          </xdr:cNvPr>
          <xdr:cNvSpPr/>
        </xdr:nvSpPr>
        <xdr:spPr>
          <a:xfrm>
            <a:off x="3603171" y="3243943"/>
            <a:ext cx="1208316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RESET</a:t>
            </a:r>
          </a:p>
        </xdr:txBody>
      </xdr:sp>
      <xdr:sp macro="[0]!RunUGExp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18A0667-08A0-5D92-D8F1-3B4AFB172BE2}"/>
              </a:ext>
            </a:extLst>
          </xdr:cNvPr>
          <xdr:cNvSpPr/>
        </xdr:nvSpPr>
        <xdr:spPr>
          <a:xfrm>
            <a:off x="2275115" y="3929743"/>
            <a:ext cx="2547258" cy="930728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/>
              <a:t>RunExp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21771</xdr:colOff>
      <xdr:row>8</xdr:row>
      <xdr:rowOff>38100</xdr:rowOff>
    </xdr:from>
    <xdr:to>
      <xdr:col>11</xdr:col>
      <xdr:colOff>10886</xdr:colOff>
      <xdr:row>16</xdr:row>
      <xdr:rowOff>174171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8669B0D5-3F9F-9248-8AE6-C0AF89501A22}"/>
            </a:ext>
          </a:extLst>
        </xdr:cNvPr>
        <xdr:cNvGrpSpPr/>
      </xdr:nvGrpSpPr>
      <xdr:grpSpPr>
        <a:xfrm>
          <a:off x="2296885" y="1518557"/>
          <a:ext cx="2917372" cy="1616528"/>
          <a:chOff x="2275115" y="3243943"/>
          <a:chExt cx="2547258" cy="1616528"/>
        </a:xfrm>
      </xdr:grpSpPr>
      <xdr:sp macro="[0]!ArenaGame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EE033215-1A82-EBF4-936A-25F652A2EC7C}"/>
              </a:ext>
            </a:extLst>
          </xdr:cNvPr>
          <xdr:cNvSpPr/>
        </xdr:nvSpPr>
        <xdr:spPr>
          <a:xfrm>
            <a:off x="2275115" y="3243943"/>
            <a:ext cx="1289957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PLAY</a:t>
            </a:r>
          </a:p>
        </xdr:txBody>
      </xdr:sp>
      <xdr:sp macro="[0]!ResetArena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F1B78946-1109-3970-07CD-9D00813FFD38}"/>
              </a:ext>
            </a:extLst>
          </xdr:cNvPr>
          <xdr:cNvSpPr/>
        </xdr:nvSpPr>
        <xdr:spPr>
          <a:xfrm>
            <a:off x="3603171" y="3243943"/>
            <a:ext cx="1208316" cy="642257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RESET</a:t>
            </a:r>
          </a:p>
        </xdr:txBody>
      </xdr:sp>
      <xdr:sp macro="[0]!RunArenaExp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C32152F-FFB9-7A44-74C0-7617D802C314}"/>
              </a:ext>
            </a:extLst>
          </xdr:cNvPr>
          <xdr:cNvSpPr/>
        </xdr:nvSpPr>
        <xdr:spPr>
          <a:xfrm>
            <a:off x="2275115" y="3929743"/>
            <a:ext cx="2547258" cy="930728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/>
              <a:t>RunExp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2125A-1C5A-43BF-B3A5-8BDE84723E74}">
  <sheetPr codeName="Sheet5"/>
  <dimension ref="A1:AD117"/>
  <sheetViews>
    <sheetView tabSelected="1" workbookViewId="0">
      <selection activeCell="A36" sqref="A36"/>
    </sheetView>
  </sheetViews>
  <sheetFormatPr defaultColWidth="2.921875" defaultRowHeight="14.6" x14ac:dyDescent="0.4"/>
  <cols>
    <col min="1" max="1" width="18.3828125" style="14" customWidth="1"/>
    <col min="2" max="16384" width="2.921875" style="9"/>
  </cols>
  <sheetData>
    <row r="1" spans="1:29" ht="20.6" x14ac:dyDescent="0.55000000000000004">
      <c r="A1" s="10" t="s">
        <v>64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x14ac:dyDescent="0.4">
      <c r="A2" s="11" t="s">
        <v>65</v>
      </c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x14ac:dyDescent="0.4">
      <c r="A3" s="11" t="s">
        <v>66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29" x14ac:dyDescent="0.4">
      <c r="A4" s="11" t="s">
        <v>67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x14ac:dyDescent="0.4">
      <c r="A5" s="11" t="s">
        <v>68</v>
      </c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x14ac:dyDescent="0.4">
      <c r="A6" s="11" t="s">
        <v>69</v>
      </c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x14ac:dyDescent="0.4">
      <c r="A7" s="11" t="s">
        <v>70</v>
      </c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x14ac:dyDescent="0.4">
      <c r="A8" s="11" t="s">
        <v>71</v>
      </c>
    </row>
    <row r="9" spans="1:29" x14ac:dyDescent="0.4">
      <c r="A9" s="11"/>
    </row>
    <row r="10" spans="1:29" x14ac:dyDescent="0.4">
      <c r="A10" s="9"/>
    </row>
    <row r="11" spans="1:29" ht="20.6" x14ac:dyDescent="0.55000000000000004">
      <c r="A11" s="10" t="s">
        <v>51</v>
      </c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</row>
    <row r="12" spans="1:29" x14ac:dyDescent="0.4">
      <c r="A12" s="13" t="s">
        <v>21</v>
      </c>
      <c r="B12" s="11" t="s">
        <v>52</v>
      </c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</row>
    <row r="13" spans="1:29" x14ac:dyDescent="0.4">
      <c r="A13" s="13" t="s">
        <v>20</v>
      </c>
      <c r="B13" s="11" t="s">
        <v>53</v>
      </c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</row>
    <row r="14" spans="1:29" x14ac:dyDescent="0.4">
      <c r="A14" s="13" t="s">
        <v>13</v>
      </c>
      <c r="B14" s="11" t="s">
        <v>54</v>
      </c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</row>
    <row r="15" spans="1:29" x14ac:dyDescent="0.4">
      <c r="A15" s="13" t="s">
        <v>49</v>
      </c>
      <c r="B15" s="11" t="s">
        <v>55</v>
      </c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9" x14ac:dyDescent="0.4">
      <c r="A16" s="13"/>
      <c r="B16" s="11"/>
    </row>
    <row r="18" spans="1:30" ht="20.6" x14ac:dyDescent="0.55000000000000004">
      <c r="A18" s="12" t="s">
        <v>56</v>
      </c>
    </row>
    <row r="19" spans="1:30" x14ac:dyDescent="0.4">
      <c r="A19" s="13" t="s">
        <v>57</v>
      </c>
      <c r="B19" s="11" t="s">
        <v>60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</row>
    <row r="20" spans="1:30" x14ac:dyDescent="0.4">
      <c r="A20" s="13" t="s">
        <v>58</v>
      </c>
      <c r="B20" s="11" t="s">
        <v>61</v>
      </c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</row>
    <row r="21" spans="1:30" x14ac:dyDescent="0.4">
      <c r="A21" s="13" t="s">
        <v>59</v>
      </c>
      <c r="B21" s="11" t="s">
        <v>62</v>
      </c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</row>
    <row r="22" spans="1:30" x14ac:dyDescent="0.4">
      <c r="A22" s="15"/>
      <c r="B22" s="11" t="s">
        <v>63</v>
      </c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</row>
    <row r="23" spans="1:30" x14ac:dyDescent="0.4">
      <c r="A23" s="15"/>
      <c r="B23" s="11" t="s">
        <v>81</v>
      </c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</row>
    <row r="24" spans="1:30" x14ac:dyDescent="0.4">
      <c r="A24" s="15"/>
      <c r="B24" s="11" t="s">
        <v>82</v>
      </c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</row>
    <row r="25" spans="1:30" x14ac:dyDescent="0.4">
      <c r="A25" s="13" t="s">
        <v>79</v>
      </c>
      <c r="B25" s="11" t="s">
        <v>80</v>
      </c>
    </row>
    <row r="28" spans="1:30" ht="20.6" x14ac:dyDescent="0.55000000000000004">
      <c r="A28" s="10" t="s">
        <v>72</v>
      </c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</row>
    <row r="29" spans="1:30" x14ac:dyDescent="0.4">
      <c r="A29" s="11" t="s">
        <v>73</v>
      </c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</row>
    <row r="30" spans="1:30" x14ac:dyDescent="0.4">
      <c r="A30" s="11" t="s">
        <v>74</v>
      </c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</row>
    <row r="31" spans="1:30" x14ac:dyDescent="0.4">
      <c r="A31" s="11" t="s">
        <v>75</v>
      </c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</row>
    <row r="32" spans="1:30" x14ac:dyDescent="0.4">
      <c r="A32" s="11" t="s">
        <v>76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</row>
    <row r="33" spans="1:30" x14ac:dyDescent="0.4">
      <c r="A33" s="11" t="s">
        <v>77</v>
      </c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</row>
    <row r="34" spans="1:30" x14ac:dyDescent="0.4">
      <c r="A34" s="11" t="s">
        <v>78</v>
      </c>
    </row>
    <row r="35" spans="1:30" x14ac:dyDescent="0.4">
      <c r="A35" s="9"/>
    </row>
    <row r="36" spans="1:30" x14ac:dyDescent="0.4">
      <c r="A36" s="9"/>
    </row>
    <row r="37" spans="1:30" x14ac:dyDescent="0.4">
      <c r="A37" s="9"/>
    </row>
    <row r="38" spans="1:30" x14ac:dyDescent="0.4">
      <c r="A38" s="9"/>
    </row>
    <row r="39" spans="1:30" x14ac:dyDescent="0.4">
      <c r="A39" s="9"/>
    </row>
    <row r="40" spans="1:30" x14ac:dyDescent="0.4">
      <c r="A40" s="9"/>
    </row>
    <row r="41" spans="1:30" x14ac:dyDescent="0.4">
      <c r="A41" s="9"/>
    </row>
    <row r="42" spans="1:30" x14ac:dyDescent="0.4">
      <c r="A42" s="9"/>
    </row>
    <row r="43" spans="1:30" x14ac:dyDescent="0.4">
      <c r="A43" s="9"/>
    </row>
    <row r="44" spans="1:30" x14ac:dyDescent="0.4">
      <c r="A44" s="9"/>
    </row>
    <row r="45" spans="1:30" x14ac:dyDescent="0.4">
      <c r="A45" s="9"/>
    </row>
    <row r="46" spans="1:30" x14ac:dyDescent="0.4">
      <c r="A46" s="9"/>
    </row>
    <row r="47" spans="1:30" x14ac:dyDescent="0.4">
      <c r="A47" s="9"/>
    </row>
    <row r="48" spans="1:30" x14ac:dyDescent="0.4">
      <c r="A48" s="9"/>
    </row>
    <row r="49" spans="1:1" x14ac:dyDescent="0.4">
      <c r="A49" s="9"/>
    </row>
    <row r="50" spans="1:1" x14ac:dyDescent="0.4">
      <c r="A50" s="9"/>
    </row>
    <row r="51" spans="1:1" x14ac:dyDescent="0.4">
      <c r="A51" s="9"/>
    </row>
    <row r="52" spans="1:1" x14ac:dyDescent="0.4">
      <c r="A52" s="9"/>
    </row>
    <row r="53" spans="1:1" x14ac:dyDescent="0.4">
      <c r="A53" s="9"/>
    </row>
    <row r="54" spans="1:1" x14ac:dyDescent="0.4">
      <c r="A54" s="9"/>
    </row>
    <row r="55" spans="1:1" x14ac:dyDescent="0.4">
      <c r="A55" s="9"/>
    </row>
    <row r="56" spans="1:1" x14ac:dyDescent="0.4">
      <c r="A56" s="9"/>
    </row>
    <row r="57" spans="1:1" x14ac:dyDescent="0.4">
      <c r="A57" s="9"/>
    </row>
    <row r="58" spans="1:1" x14ac:dyDescent="0.4">
      <c r="A58" s="9"/>
    </row>
    <row r="59" spans="1:1" x14ac:dyDescent="0.4">
      <c r="A59" s="9"/>
    </row>
    <row r="60" spans="1:1" x14ac:dyDescent="0.4">
      <c r="A60" s="9"/>
    </row>
    <row r="61" spans="1:1" x14ac:dyDescent="0.4">
      <c r="A61" s="9"/>
    </row>
    <row r="62" spans="1:1" x14ac:dyDescent="0.4">
      <c r="A62" s="9"/>
    </row>
    <row r="63" spans="1:1" x14ac:dyDescent="0.4">
      <c r="A63" s="9"/>
    </row>
    <row r="64" spans="1:1" x14ac:dyDescent="0.4">
      <c r="A64" s="9"/>
    </row>
    <row r="65" spans="1:1" x14ac:dyDescent="0.4">
      <c r="A65" s="9"/>
    </row>
    <row r="66" spans="1:1" x14ac:dyDescent="0.4">
      <c r="A66" s="9"/>
    </row>
    <row r="67" spans="1:1" x14ac:dyDescent="0.4">
      <c r="A67" s="9"/>
    </row>
    <row r="68" spans="1:1" x14ac:dyDescent="0.4">
      <c r="A68" s="9"/>
    </row>
    <row r="69" spans="1:1" x14ac:dyDescent="0.4">
      <c r="A69" s="9"/>
    </row>
    <row r="70" spans="1:1" x14ac:dyDescent="0.4">
      <c r="A70" s="9"/>
    </row>
    <row r="71" spans="1:1" x14ac:dyDescent="0.4">
      <c r="A71" s="9"/>
    </row>
    <row r="72" spans="1:1" x14ac:dyDescent="0.4">
      <c r="A72" s="9"/>
    </row>
    <row r="73" spans="1:1" x14ac:dyDescent="0.4">
      <c r="A73" s="9"/>
    </row>
    <row r="74" spans="1:1" x14ac:dyDescent="0.4">
      <c r="A74" s="9"/>
    </row>
    <row r="75" spans="1:1" x14ac:dyDescent="0.4">
      <c r="A75" s="9"/>
    </row>
    <row r="76" spans="1:1" x14ac:dyDescent="0.4">
      <c r="A76" s="9"/>
    </row>
    <row r="77" spans="1:1" x14ac:dyDescent="0.4">
      <c r="A77" s="9"/>
    </row>
    <row r="78" spans="1:1" x14ac:dyDescent="0.4">
      <c r="A78" s="9"/>
    </row>
    <row r="79" spans="1:1" x14ac:dyDescent="0.4">
      <c r="A79" s="9"/>
    </row>
    <row r="80" spans="1:1" x14ac:dyDescent="0.4">
      <c r="A80" s="9"/>
    </row>
    <row r="81" spans="1:1" x14ac:dyDescent="0.4">
      <c r="A81" s="9"/>
    </row>
    <row r="82" spans="1:1" x14ac:dyDescent="0.4">
      <c r="A82" s="9"/>
    </row>
    <row r="83" spans="1:1" x14ac:dyDescent="0.4">
      <c r="A83" s="9"/>
    </row>
    <row r="84" spans="1:1" x14ac:dyDescent="0.4">
      <c r="A84" s="9"/>
    </row>
    <row r="85" spans="1:1" x14ac:dyDescent="0.4">
      <c r="A85" s="9"/>
    </row>
    <row r="86" spans="1:1" x14ac:dyDescent="0.4">
      <c r="A86" s="9"/>
    </row>
    <row r="87" spans="1:1" x14ac:dyDescent="0.4">
      <c r="A87" s="9"/>
    </row>
    <row r="88" spans="1:1" x14ac:dyDescent="0.4">
      <c r="A88" s="9"/>
    </row>
    <row r="89" spans="1:1" x14ac:dyDescent="0.4">
      <c r="A89" s="9"/>
    </row>
    <row r="90" spans="1:1" x14ac:dyDescent="0.4">
      <c r="A90" s="9"/>
    </row>
    <row r="91" spans="1:1" x14ac:dyDescent="0.4">
      <c r="A91" s="9"/>
    </row>
    <row r="92" spans="1:1" x14ac:dyDescent="0.4">
      <c r="A92" s="9"/>
    </row>
    <row r="93" spans="1:1" x14ac:dyDescent="0.4">
      <c r="A93" s="9"/>
    </row>
    <row r="94" spans="1:1" x14ac:dyDescent="0.4">
      <c r="A94" s="9"/>
    </row>
    <row r="95" spans="1:1" x14ac:dyDescent="0.4">
      <c r="A95" s="9"/>
    </row>
    <row r="96" spans="1:1" x14ac:dyDescent="0.4">
      <c r="A96" s="9"/>
    </row>
    <row r="97" spans="1:1" x14ac:dyDescent="0.4">
      <c r="A97" s="9"/>
    </row>
    <row r="98" spans="1:1" x14ac:dyDescent="0.4">
      <c r="A98" s="9"/>
    </row>
    <row r="99" spans="1:1" x14ac:dyDescent="0.4">
      <c r="A99" s="9"/>
    </row>
    <row r="100" spans="1:1" x14ac:dyDescent="0.4">
      <c r="A100" s="9"/>
    </row>
    <row r="101" spans="1:1" x14ac:dyDescent="0.4">
      <c r="A101" s="9"/>
    </row>
    <row r="102" spans="1:1" x14ac:dyDescent="0.4">
      <c r="A102" s="9"/>
    </row>
    <row r="103" spans="1:1" x14ac:dyDescent="0.4">
      <c r="A103" s="9"/>
    </row>
    <row r="104" spans="1:1" x14ac:dyDescent="0.4">
      <c r="A104" s="9"/>
    </row>
    <row r="105" spans="1:1" x14ac:dyDescent="0.4">
      <c r="A105" s="9"/>
    </row>
    <row r="106" spans="1:1" x14ac:dyDescent="0.4">
      <c r="A106" s="9"/>
    </row>
    <row r="107" spans="1:1" x14ac:dyDescent="0.4">
      <c r="A107" s="9"/>
    </row>
    <row r="108" spans="1:1" x14ac:dyDescent="0.4">
      <c r="A108" s="9"/>
    </row>
    <row r="109" spans="1:1" x14ac:dyDescent="0.4">
      <c r="A109" s="9"/>
    </row>
    <row r="110" spans="1:1" x14ac:dyDescent="0.4">
      <c r="A110" s="9"/>
    </row>
    <row r="111" spans="1:1" x14ac:dyDescent="0.4">
      <c r="A111" s="9"/>
    </row>
    <row r="112" spans="1:1" x14ac:dyDescent="0.4">
      <c r="A112" s="9"/>
    </row>
    <row r="113" spans="1:1" x14ac:dyDescent="0.4">
      <c r="A113" s="9"/>
    </row>
    <row r="114" spans="1:1" x14ac:dyDescent="0.4">
      <c r="A114" s="9"/>
    </row>
    <row r="115" spans="1:1" x14ac:dyDescent="0.4">
      <c r="A115" s="9"/>
    </row>
    <row r="116" spans="1:1" x14ac:dyDescent="0.4">
      <c r="A116" s="9"/>
    </row>
    <row r="117" spans="1:1" x14ac:dyDescent="0.4">
      <c r="A117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91C94-C58D-4A6A-9471-DDE8BD8E3243}">
  <sheetPr codeName="Sheet1"/>
  <dimension ref="A1:ZZ20"/>
  <sheetViews>
    <sheetView workbookViewId="0">
      <selection activeCell="Q13" sqref="Q13"/>
    </sheetView>
  </sheetViews>
  <sheetFormatPr defaultColWidth="19.4609375" defaultRowHeight="14.6" x14ac:dyDescent="0.4"/>
  <cols>
    <col min="1" max="1" width="8.07421875" bestFit="1" customWidth="1"/>
    <col min="2" max="2" width="6" bestFit="1" customWidth="1"/>
    <col min="3" max="3" width="2.84375" customWidth="1"/>
    <col min="4" max="4" width="11.84375" bestFit="1" customWidth="1"/>
    <col min="5" max="5" width="1.84375" bestFit="1" customWidth="1"/>
    <col min="6" max="6" width="2.61328125" customWidth="1"/>
    <col min="7" max="7" width="12.61328125" bestFit="1" customWidth="1"/>
    <col min="8" max="8" width="9.765625" customWidth="1"/>
    <col min="9" max="9" width="2.61328125" customWidth="1"/>
    <col min="10" max="10" width="10.15234375" bestFit="1" customWidth="1"/>
    <col min="11" max="11" width="10.69140625" customWidth="1"/>
    <col min="12" max="12" width="2.3046875" customWidth="1"/>
    <col min="13" max="13" width="26.4609375" bestFit="1" customWidth="1"/>
    <col min="14" max="14" width="11.84375" style="5" bestFit="1" customWidth="1"/>
    <col min="15" max="15" width="17.69140625" bestFit="1" customWidth="1"/>
    <col min="16" max="16" width="7.84375" bestFit="1" customWidth="1"/>
  </cols>
  <sheetData>
    <row r="1" spans="1:702" x14ac:dyDescent="0.4">
      <c r="A1" s="2" t="s">
        <v>0</v>
      </c>
      <c r="B1" s="4" t="s">
        <v>1</v>
      </c>
      <c r="C1" s="2"/>
      <c r="D1" s="2" t="s">
        <v>3</v>
      </c>
      <c r="E1" s="4"/>
      <c r="F1" s="4"/>
      <c r="G1" s="2" t="s">
        <v>4</v>
      </c>
      <c r="H1" s="4"/>
      <c r="I1" s="1"/>
      <c r="J1" s="2" t="s">
        <v>2</v>
      </c>
      <c r="K1" s="4"/>
      <c r="L1" s="1"/>
      <c r="M1" s="2" t="s">
        <v>17</v>
      </c>
      <c r="N1" s="4"/>
      <c r="O1" s="2" t="s">
        <v>28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</row>
    <row r="2" spans="1:702" x14ac:dyDescent="0.4">
      <c r="A2" s="3" t="s">
        <v>22</v>
      </c>
      <c r="B2" s="5" t="s">
        <v>84</v>
      </c>
      <c r="C2" s="3"/>
      <c r="D2" s="3" t="s">
        <v>10</v>
      </c>
      <c r="E2" s="5"/>
      <c r="F2" s="5"/>
      <c r="G2" s="3" t="s">
        <v>5</v>
      </c>
      <c r="H2" s="5"/>
      <c r="J2" s="3" t="s">
        <v>8</v>
      </c>
      <c r="K2" s="5">
        <v>2500</v>
      </c>
      <c r="M2" s="3" t="s">
        <v>18</v>
      </c>
      <c r="O2" s="3" t="s">
        <v>21</v>
      </c>
      <c r="P2" s="5">
        <v>10</v>
      </c>
    </row>
    <row r="3" spans="1:702" x14ac:dyDescent="0.4">
      <c r="A3" s="3" t="s">
        <v>24</v>
      </c>
      <c r="B3" s="5" t="s">
        <v>23</v>
      </c>
      <c r="C3" s="3"/>
      <c r="D3" s="3" t="s">
        <v>11</v>
      </c>
      <c r="E3" s="5"/>
      <c r="F3" s="5"/>
      <c r="G3" s="3" t="s">
        <v>6</v>
      </c>
      <c r="H3" s="5"/>
      <c r="J3" s="3" t="s">
        <v>9</v>
      </c>
      <c r="K3" s="5"/>
      <c r="M3" s="3" t="s">
        <v>29</v>
      </c>
      <c r="O3" s="3" t="s">
        <v>20</v>
      </c>
      <c r="P3" s="5">
        <v>2500</v>
      </c>
    </row>
    <row r="4" spans="1:702" x14ac:dyDescent="0.4">
      <c r="A4" s="3" t="s">
        <v>25</v>
      </c>
      <c r="B4" s="5" t="s">
        <v>84</v>
      </c>
      <c r="C4" s="3"/>
      <c r="D4" s="3" t="s">
        <v>12</v>
      </c>
      <c r="E4" s="5"/>
      <c r="F4" s="5"/>
      <c r="G4" s="3" t="s">
        <v>7</v>
      </c>
      <c r="H4" s="5"/>
      <c r="J4" s="3" t="s">
        <v>15</v>
      </c>
      <c r="K4" s="5"/>
      <c r="M4" s="3" t="s">
        <v>30</v>
      </c>
      <c r="O4" s="3" t="s">
        <v>13</v>
      </c>
      <c r="P4" s="6">
        <v>0.5</v>
      </c>
    </row>
    <row r="5" spans="1:702" x14ac:dyDescent="0.4">
      <c r="A5" s="3" t="s">
        <v>26</v>
      </c>
      <c r="B5" s="5" t="s">
        <v>84</v>
      </c>
      <c r="C5" s="3"/>
      <c r="D5" s="3"/>
      <c r="E5" s="5"/>
      <c r="F5" s="5"/>
      <c r="G5" s="3" t="s">
        <v>13</v>
      </c>
      <c r="H5" s="6"/>
      <c r="J5" s="3" t="s">
        <v>16</v>
      </c>
      <c r="K5" s="5"/>
      <c r="M5" s="3" t="s">
        <v>31</v>
      </c>
      <c r="O5" s="3" t="s">
        <v>49</v>
      </c>
      <c r="P5" s="5">
        <v>250</v>
      </c>
    </row>
    <row r="6" spans="1:702" x14ac:dyDescent="0.4">
      <c r="A6" s="3"/>
      <c r="B6" s="5"/>
      <c r="C6" s="3"/>
      <c r="D6" s="3"/>
      <c r="E6" s="5"/>
      <c r="F6" s="5"/>
      <c r="G6" s="3" t="s">
        <v>14</v>
      </c>
      <c r="H6" s="5"/>
      <c r="J6" s="3"/>
      <c r="K6" s="5"/>
      <c r="M6" s="3" t="s">
        <v>32</v>
      </c>
    </row>
    <row r="7" spans="1:702" x14ac:dyDescent="0.4">
      <c r="A7" s="3"/>
      <c r="B7" s="5"/>
      <c r="C7" s="3"/>
      <c r="D7" s="3"/>
      <c r="E7" s="5"/>
      <c r="F7" s="5"/>
      <c r="G7" s="3" t="s">
        <v>19</v>
      </c>
      <c r="H7" s="5" t="e">
        <f>(P3-K2)/K3</f>
        <v>#DIV/0!</v>
      </c>
      <c r="J7" s="3"/>
      <c r="K7" s="5"/>
      <c r="M7" s="3" t="s">
        <v>33</v>
      </c>
    </row>
    <row r="8" spans="1:702" x14ac:dyDescent="0.4">
      <c r="A8" s="3"/>
      <c r="B8" s="5"/>
      <c r="C8" s="3"/>
      <c r="D8" s="3"/>
      <c r="E8" s="5"/>
      <c r="F8" s="5"/>
      <c r="G8" s="3"/>
      <c r="H8" s="5"/>
      <c r="J8" s="3"/>
      <c r="K8" s="5"/>
      <c r="M8" s="3" t="s">
        <v>34</v>
      </c>
    </row>
    <row r="9" spans="1:702" x14ac:dyDescent="0.4">
      <c r="A9" s="3"/>
      <c r="B9" s="5"/>
      <c r="C9" s="3"/>
      <c r="D9" s="3"/>
      <c r="E9" s="5"/>
      <c r="F9" s="5"/>
      <c r="G9" s="3"/>
      <c r="H9" s="5"/>
      <c r="J9" s="3"/>
      <c r="K9" s="5"/>
      <c r="M9" s="3" t="s">
        <v>35</v>
      </c>
    </row>
    <row r="10" spans="1:702" x14ac:dyDescent="0.4">
      <c r="A10" s="3"/>
      <c r="B10" s="5"/>
      <c r="C10" s="3"/>
      <c r="D10" s="3"/>
      <c r="E10" s="5"/>
      <c r="F10" s="5"/>
      <c r="G10" s="3"/>
      <c r="H10" s="5"/>
      <c r="J10" s="3"/>
      <c r="K10" s="5"/>
      <c r="M10" s="3" t="s">
        <v>50</v>
      </c>
    </row>
    <row r="11" spans="1:702" x14ac:dyDescent="0.4">
      <c r="A11" s="3"/>
      <c r="B11" s="5"/>
      <c r="C11" s="3"/>
      <c r="D11" s="3"/>
      <c r="E11" s="5"/>
      <c r="F11" s="5"/>
      <c r="G11" s="3"/>
      <c r="H11" s="5"/>
      <c r="J11" s="3"/>
      <c r="K11" s="5"/>
    </row>
    <row r="12" spans="1:702" x14ac:dyDescent="0.4">
      <c r="A12" s="3"/>
      <c r="B12" s="5"/>
      <c r="C12" s="3"/>
      <c r="D12" s="3"/>
      <c r="E12" s="5"/>
      <c r="F12" s="5"/>
      <c r="G12" s="3"/>
      <c r="H12" s="5"/>
      <c r="J12" s="3"/>
      <c r="K12" s="5"/>
      <c r="M12" s="3" t="s">
        <v>36</v>
      </c>
      <c r="N12" s="6" t="e">
        <f>N4/(N4+N5)</f>
        <v>#DIV/0!</v>
      </c>
    </row>
    <row r="13" spans="1:702" x14ac:dyDescent="0.4">
      <c r="A13" s="3"/>
      <c r="B13" s="5"/>
      <c r="C13" s="3"/>
      <c r="D13" s="3"/>
      <c r="E13" s="5"/>
      <c r="F13" s="5"/>
      <c r="G13" s="3"/>
      <c r="H13" s="5"/>
      <c r="J13" s="3"/>
      <c r="K13" s="5"/>
      <c r="M13" s="3" t="s">
        <v>38</v>
      </c>
      <c r="N13" s="5" t="e">
        <f>N4/N3</f>
        <v>#DIV/0!</v>
      </c>
    </row>
    <row r="14" spans="1:702" x14ac:dyDescent="0.4">
      <c r="A14" s="3"/>
      <c r="B14" s="5"/>
      <c r="C14" s="3"/>
      <c r="D14" s="3"/>
      <c r="E14" s="5"/>
      <c r="F14" s="5"/>
      <c r="G14" s="3"/>
      <c r="H14" s="5"/>
      <c r="J14" s="3"/>
      <c r="K14" s="5"/>
      <c r="M14" s="3" t="s">
        <v>37</v>
      </c>
      <c r="N14" s="5" t="e">
        <f>N6/N7</f>
        <v>#DIV/0!</v>
      </c>
    </row>
    <row r="15" spans="1:702" x14ac:dyDescent="0.4">
      <c r="A15" s="3"/>
      <c r="B15" s="5"/>
      <c r="C15" s="3"/>
      <c r="D15" s="3"/>
      <c r="E15" s="5"/>
      <c r="F15" s="5"/>
      <c r="G15" s="3"/>
      <c r="H15" s="5"/>
      <c r="J15" s="3"/>
      <c r="K15" s="5"/>
      <c r="M15" s="3" t="s">
        <v>39</v>
      </c>
      <c r="N15" s="5" t="e">
        <f>N8/N2</f>
        <v>#DIV/0!</v>
      </c>
    </row>
    <row r="16" spans="1:702" x14ac:dyDescent="0.4">
      <c r="A16" s="3"/>
      <c r="B16" s="5"/>
      <c r="C16" s="3"/>
      <c r="D16" s="3"/>
      <c r="E16" s="5"/>
      <c r="F16" s="5"/>
      <c r="G16" s="3"/>
      <c r="H16" s="5"/>
      <c r="J16" s="3"/>
      <c r="K16" s="5"/>
    </row>
    <row r="17" spans="1:11" x14ac:dyDescent="0.4">
      <c r="A17" s="3"/>
      <c r="B17" s="5"/>
      <c r="C17" s="3"/>
      <c r="D17" s="3"/>
      <c r="E17" s="5"/>
      <c r="F17" s="5"/>
      <c r="G17" s="3"/>
      <c r="H17" s="5"/>
      <c r="J17" s="3"/>
      <c r="K17" s="5"/>
    </row>
    <row r="18" spans="1:11" x14ac:dyDescent="0.4">
      <c r="A18" s="3"/>
      <c r="B18" s="5"/>
      <c r="C18" s="3"/>
      <c r="D18" s="3"/>
      <c r="E18" s="5"/>
      <c r="F18" s="5"/>
      <c r="G18" s="3"/>
      <c r="H18" s="5"/>
      <c r="J18" s="3"/>
      <c r="K18" s="5"/>
    </row>
    <row r="19" spans="1:11" x14ac:dyDescent="0.4">
      <c r="A19" s="3"/>
      <c r="B19" s="5"/>
      <c r="C19" s="3"/>
      <c r="D19" s="3"/>
      <c r="E19" s="5"/>
      <c r="F19" s="5"/>
      <c r="G19" s="3"/>
      <c r="H19" s="5"/>
      <c r="J19" s="3"/>
      <c r="K19" s="5"/>
    </row>
    <row r="20" spans="1:11" x14ac:dyDescent="0.4">
      <c r="A20" s="3"/>
      <c r="B20" s="5"/>
      <c r="C20" s="3"/>
      <c r="D20" s="3"/>
      <c r="E20" s="5"/>
      <c r="F20" s="5"/>
      <c r="G20" s="3"/>
      <c r="H20" s="5"/>
      <c r="J20" s="3"/>
      <c r="K20" s="5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D072A-784A-4D60-AE9E-BA5202A04601}">
  <sheetPr codeName="Sheet2"/>
  <dimension ref="A1:ZZ20"/>
  <sheetViews>
    <sheetView workbookViewId="0">
      <selection activeCell="Q13" sqref="Q13"/>
    </sheetView>
  </sheetViews>
  <sheetFormatPr defaultRowHeight="14.6" x14ac:dyDescent="0.4"/>
  <cols>
    <col min="1" max="1" width="8.07421875" bestFit="1" customWidth="1"/>
    <col min="2" max="2" width="6" bestFit="1" customWidth="1"/>
    <col min="3" max="3" width="2.53515625" customWidth="1"/>
    <col min="4" max="4" width="11.84375" bestFit="1" customWidth="1"/>
    <col min="5" max="5" width="1.84375" bestFit="1" customWidth="1"/>
    <col min="6" max="6" width="1.84375" customWidth="1"/>
    <col min="7" max="7" width="12.61328125" bestFit="1" customWidth="1"/>
    <col min="8" max="8" width="6.84375" bestFit="1" customWidth="1"/>
    <col min="9" max="9" width="1.765625" customWidth="1"/>
    <col min="10" max="10" width="9.765625" bestFit="1" customWidth="1"/>
    <col min="11" max="11" width="10.3828125" customWidth="1"/>
    <col min="12" max="12" width="8.921875" customWidth="1"/>
    <col min="13" max="13" width="22.07421875" bestFit="1" customWidth="1"/>
    <col min="14" max="14" width="11.84375" bestFit="1" customWidth="1"/>
    <col min="15" max="15" width="17.69140625" bestFit="1" customWidth="1"/>
    <col min="16" max="16" width="6.84375" bestFit="1" customWidth="1"/>
  </cols>
  <sheetData>
    <row r="1" spans="1:702" x14ac:dyDescent="0.4">
      <c r="A1" s="2" t="s">
        <v>0</v>
      </c>
      <c r="B1" s="4" t="s">
        <v>1</v>
      </c>
      <c r="C1" s="1"/>
      <c r="D1" s="2" t="s">
        <v>3</v>
      </c>
      <c r="E1" s="4"/>
      <c r="F1" s="1"/>
      <c r="G1" s="2" t="s">
        <v>4</v>
      </c>
      <c r="H1" s="4"/>
      <c r="I1" s="1"/>
      <c r="J1" s="2" t="s">
        <v>2</v>
      </c>
      <c r="K1" s="4"/>
      <c r="L1" s="1"/>
      <c r="M1" s="2" t="s">
        <v>17</v>
      </c>
      <c r="N1" s="4"/>
      <c r="O1" s="2" t="s">
        <v>28</v>
      </c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</row>
    <row r="2" spans="1:702" x14ac:dyDescent="0.4">
      <c r="A2" s="3" t="s">
        <v>22</v>
      </c>
      <c r="B2" s="5" t="s">
        <v>23</v>
      </c>
      <c r="D2" s="3" t="s">
        <v>10</v>
      </c>
      <c r="E2" s="5">
        <v>5</v>
      </c>
      <c r="G2" s="3" t="s">
        <v>5</v>
      </c>
      <c r="H2" s="5">
        <v>100</v>
      </c>
      <c r="J2" s="3" t="s">
        <v>8</v>
      </c>
      <c r="K2" s="5">
        <v>2350</v>
      </c>
      <c r="M2" s="3" t="s">
        <v>18</v>
      </c>
      <c r="N2" s="5"/>
      <c r="O2" s="3" t="s">
        <v>21</v>
      </c>
      <c r="P2" s="5">
        <v>10</v>
      </c>
    </row>
    <row r="3" spans="1:702" x14ac:dyDescent="0.4">
      <c r="A3" s="3" t="s">
        <v>24</v>
      </c>
      <c r="B3" s="5" t="s">
        <v>23</v>
      </c>
      <c r="D3" s="3" t="s">
        <v>11</v>
      </c>
      <c r="E3" s="5">
        <v>5</v>
      </c>
      <c r="G3" s="3" t="s">
        <v>6</v>
      </c>
      <c r="H3" s="5">
        <v>496</v>
      </c>
      <c r="J3" s="3" t="s">
        <v>9</v>
      </c>
      <c r="K3" s="5">
        <v>199</v>
      </c>
      <c r="M3" s="3" t="s">
        <v>29</v>
      </c>
      <c r="N3" s="5"/>
      <c r="O3" s="3" t="s">
        <v>20</v>
      </c>
      <c r="P3" s="5">
        <v>2500</v>
      </c>
    </row>
    <row r="4" spans="1:702" x14ac:dyDescent="0.4">
      <c r="A4" s="3" t="s">
        <v>25</v>
      </c>
      <c r="B4" s="5" t="s">
        <v>23</v>
      </c>
      <c r="D4" s="3" t="s">
        <v>12</v>
      </c>
      <c r="E4" s="5">
        <v>0</v>
      </c>
      <c r="G4" s="3" t="s">
        <v>7</v>
      </c>
      <c r="H4" s="5">
        <v>4</v>
      </c>
      <c r="J4" s="3" t="s">
        <v>40</v>
      </c>
      <c r="K4" s="5">
        <v>0</v>
      </c>
      <c r="M4" s="3" t="s">
        <v>30</v>
      </c>
      <c r="N4" s="5"/>
      <c r="O4" s="3" t="s">
        <v>13</v>
      </c>
      <c r="P4" s="6">
        <v>0.5</v>
      </c>
    </row>
    <row r="5" spans="1:702" x14ac:dyDescent="0.4">
      <c r="A5" s="3" t="s">
        <v>26</v>
      </c>
      <c r="B5" s="5" t="s">
        <v>23</v>
      </c>
      <c r="D5" s="3"/>
      <c r="E5" s="5"/>
      <c r="G5" s="3" t="s">
        <v>13</v>
      </c>
      <c r="H5" s="6">
        <v>0.99199999999999999</v>
      </c>
      <c r="J5" s="3" t="s">
        <v>41</v>
      </c>
      <c r="K5" s="5">
        <v>1</v>
      </c>
      <c r="M5" s="3" t="s">
        <v>31</v>
      </c>
      <c r="N5" s="5"/>
      <c r="O5" s="3" t="s">
        <v>83</v>
      </c>
      <c r="P5" s="5">
        <v>250</v>
      </c>
    </row>
    <row r="6" spans="1:702" x14ac:dyDescent="0.4">
      <c r="A6" s="3" t="s">
        <v>27</v>
      </c>
      <c r="B6" s="5" t="s">
        <v>23</v>
      </c>
      <c r="D6" s="3"/>
      <c r="E6" s="5"/>
      <c r="G6" s="3" t="s">
        <v>14</v>
      </c>
      <c r="H6" s="5">
        <v>4.96</v>
      </c>
      <c r="J6" s="3" t="s">
        <v>42</v>
      </c>
      <c r="K6" s="5">
        <v>0</v>
      </c>
      <c r="M6" s="3" t="s">
        <v>32</v>
      </c>
      <c r="N6" s="5"/>
    </row>
    <row r="7" spans="1:702" x14ac:dyDescent="0.4">
      <c r="A7" s="3"/>
      <c r="B7" s="5"/>
      <c r="D7" s="3"/>
      <c r="E7" s="5"/>
      <c r="G7" s="3" t="s">
        <v>19</v>
      </c>
      <c r="H7" s="5">
        <f>(P3-K2)/K3</f>
        <v>0.75376884422110557</v>
      </c>
      <c r="J7" s="3"/>
      <c r="K7" s="5"/>
      <c r="M7" s="3" t="s">
        <v>33</v>
      </c>
      <c r="N7" s="5"/>
    </row>
    <row r="8" spans="1:702" x14ac:dyDescent="0.4">
      <c r="A8" s="3"/>
      <c r="B8" s="5"/>
      <c r="D8" s="3"/>
      <c r="E8" s="5"/>
      <c r="G8" s="3"/>
      <c r="H8" s="5"/>
      <c r="J8" s="3"/>
      <c r="K8" s="5"/>
      <c r="M8" s="3" t="s">
        <v>45</v>
      </c>
      <c r="N8" s="5"/>
    </row>
    <row r="9" spans="1:702" x14ac:dyDescent="0.4">
      <c r="A9" s="3"/>
      <c r="B9" s="5"/>
      <c r="D9" s="3"/>
      <c r="E9" s="5"/>
      <c r="G9" s="3"/>
      <c r="H9" s="5"/>
      <c r="J9" s="3"/>
      <c r="K9" s="5"/>
      <c r="M9" s="3" t="s">
        <v>43</v>
      </c>
      <c r="N9" s="5"/>
    </row>
    <row r="10" spans="1:702" x14ac:dyDescent="0.4">
      <c r="A10" s="3"/>
      <c r="B10" s="5"/>
      <c r="D10" s="3"/>
      <c r="E10" s="5"/>
      <c r="G10" s="3"/>
      <c r="H10" s="5"/>
      <c r="J10" s="3"/>
      <c r="K10" s="5"/>
      <c r="M10" s="3" t="s">
        <v>44</v>
      </c>
      <c r="N10" s="5"/>
    </row>
    <row r="11" spans="1:702" x14ac:dyDescent="0.4">
      <c r="A11" s="3"/>
      <c r="B11" s="5"/>
      <c r="D11" s="3"/>
      <c r="E11" s="5"/>
      <c r="G11" s="3"/>
      <c r="H11" s="5"/>
      <c r="J11" s="3"/>
      <c r="K11" s="5"/>
      <c r="M11" s="3" t="s">
        <v>50</v>
      </c>
      <c r="N11" s="5"/>
    </row>
    <row r="12" spans="1:702" x14ac:dyDescent="0.4">
      <c r="A12" s="3"/>
      <c r="B12" s="5"/>
      <c r="D12" s="3"/>
      <c r="E12" s="5"/>
      <c r="G12" s="3"/>
      <c r="H12" s="5"/>
      <c r="J12" s="3"/>
      <c r="K12" s="5"/>
    </row>
    <row r="13" spans="1:702" x14ac:dyDescent="0.4">
      <c r="A13" s="3"/>
      <c r="B13" s="5"/>
      <c r="D13" s="3"/>
      <c r="E13" s="5"/>
      <c r="G13" s="3"/>
      <c r="H13" s="5"/>
      <c r="J13" s="3"/>
      <c r="K13" s="5"/>
      <c r="M13" s="3" t="s">
        <v>36</v>
      </c>
      <c r="N13" s="6" t="e">
        <f>N4/(N4+N5)</f>
        <v>#DIV/0!</v>
      </c>
    </row>
    <row r="14" spans="1:702" x14ac:dyDescent="0.4">
      <c r="A14" s="3"/>
      <c r="B14" s="5"/>
      <c r="D14" s="3"/>
      <c r="E14" s="5"/>
      <c r="G14" s="3"/>
      <c r="H14" s="5"/>
      <c r="J14" s="3"/>
      <c r="K14" s="5"/>
      <c r="M14" s="3" t="s">
        <v>38</v>
      </c>
      <c r="N14" s="5" t="e">
        <f>N4/N3</f>
        <v>#DIV/0!</v>
      </c>
    </row>
    <row r="15" spans="1:702" x14ac:dyDescent="0.4">
      <c r="A15" s="3"/>
      <c r="B15" s="5"/>
      <c r="D15" s="3"/>
      <c r="E15" s="5"/>
      <c r="G15" s="3"/>
      <c r="H15" s="5"/>
      <c r="J15" s="3"/>
      <c r="K15" s="5"/>
      <c r="M15" s="3" t="s">
        <v>37</v>
      </c>
      <c r="N15" s="5" t="e">
        <f>N6/N7</f>
        <v>#DIV/0!</v>
      </c>
    </row>
    <row r="16" spans="1:702" x14ac:dyDescent="0.4">
      <c r="A16" s="3"/>
      <c r="B16" s="5"/>
      <c r="D16" s="3"/>
      <c r="E16" s="5"/>
      <c r="G16" s="3"/>
      <c r="H16" s="5"/>
      <c r="J16" s="3"/>
      <c r="K16" s="5"/>
      <c r="M16" s="3" t="s">
        <v>48</v>
      </c>
      <c r="N16" s="5" t="e">
        <f>N6/((N7*100 + N8 + N9*40 +N10*400)/100)</f>
        <v>#DIV/0!</v>
      </c>
    </row>
    <row r="17" spans="1:11" x14ac:dyDescent="0.4">
      <c r="A17" s="3"/>
      <c r="B17" s="5"/>
      <c r="D17" s="3"/>
      <c r="E17" s="5"/>
      <c r="G17" s="3"/>
      <c r="H17" s="5"/>
      <c r="J17" s="3"/>
      <c r="K17" s="5"/>
    </row>
    <row r="18" spans="1:11" x14ac:dyDescent="0.4">
      <c r="A18" s="3"/>
      <c r="B18" s="5"/>
      <c r="D18" s="3"/>
      <c r="E18" s="5"/>
      <c r="G18" s="3"/>
      <c r="H18" s="5"/>
      <c r="J18" s="3"/>
      <c r="K18" s="5"/>
    </row>
    <row r="19" spans="1:11" x14ac:dyDescent="0.4">
      <c r="A19" s="3"/>
      <c r="B19" s="5"/>
      <c r="D19" s="3"/>
      <c r="E19" s="5"/>
      <c r="G19" s="3"/>
      <c r="H19" s="5"/>
      <c r="J19" s="3"/>
      <c r="K19" s="5"/>
    </row>
    <row r="20" spans="1:11" x14ac:dyDescent="0.4">
      <c r="A20" s="3"/>
      <c r="B20" s="5"/>
      <c r="D20" s="3"/>
      <c r="E20" s="5"/>
      <c r="G20" s="3"/>
      <c r="H20" s="5"/>
      <c r="J20" s="3"/>
      <c r="K20" s="5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335D4-FA3A-4FD7-A9B9-217C57BE9DBC}">
  <sheetPr codeName="Sheet3"/>
  <dimension ref="A1:D15"/>
  <sheetViews>
    <sheetView workbookViewId="0">
      <selection activeCell="C2" sqref="C2"/>
    </sheetView>
  </sheetViews>
  <sheetFormatPr defaultRowHeight="14.6" x14ac:dyDescent="0.4"/>
  <cols>
    <col min="1" max="1" width="31.61328125" bestFit="1" customWidth="1"/>
    <col min="2" max="2" width="12.3828125" bestFit="1" customWidth="1"/>
    <col min="3" max="3" width="17.69140625" bestFit="1" customWidth="1"/>
    <col min="4" max="4" width="6.84375" bestFit="1" customWidth="1"/>
  </cols>
  <sheetData>
    <row r="1" spans="1:4" ht="20.6" x14ac:dyDescent="0.55000000000000004">
      <c r="A1" s="7" t="s">
        <v>47</v>
      </c>
    </row>
    <row r="2" spans="1:4" x14ac:dyDescent="0.4">
      <c r="A2" s="2" t="s">
        <v>17</v>
      </c>
      <c r="B2" s="4"/>
      <c r="C2" s="2" t="s">
        <v>28</v>
      </c>
      <c r="D2" s="1"/>
    </row>
    <row r="3" spans="1:4" x14ac:dyDescent="0.4">
      <c r="A3" s="3" t="s">
        <v>18</v>
      </c>
      <c r="B3" s="5">
        <v>1000</v>
      </c>
      <c r="C3" s="3" t="s">
        <v>21</v>
      </c>
      <c r="D3" s="5">
        <v>1000</v>
      </c>
    </row>
    <row r="4" spans="1:4" x14ac:dyDescent="0.4">
      <c r="A4" s="3" t="s">
        <v>29</v>
      </c>
      <c r="B4" s="5">
        <v>20463</v>
      </c>
      <c r="C4" s="3" t="s">
        <v>20</v>
      </c>
      <c r="D4" s="5">
        <v>2500</v>
      </c>
    </row>
    <row r="5" spans="1:4" x14ac:dyDescent="0.4">
      <c r="A5" s="3" t="s">
        <v>30</v>
      </c>
      <c r="B5" s="5">
        <v>61615</v>
      </c>
      <c r="C5" s="3" t="s">
        <v>13</v>
      </c>
      <c r="D5" s="6">
        <v>0.5</v>
      </c>
    </row>
    <row r="6" spans="1:4" x14ac:dyDescent="0.4">
      <c r="A6" s="3" t="s">
        <v>31</v>
      </c>
      <c r="B6" s="5">
        <v>61195</v>
      </c>
    </row>
    <row r="7" spans="1:4" x14ac:dyDescent="0.4">
      <c r="A7" s="3" t="s">
        <v>32</v>
      </c>
      <c r="B7" s="5">
        <v>2319950</v>
      </c>
    </row>
    <row r="8" spans="1:4" x14ac:dyDescent="0.4">
      <c r="A8" s="3" t="s">
        <v>33</v>
      </c>
      <c r="B8" s="5">
        <v>35687</v>
      </c>
    </row>
    <row r="9" spans="1:4" x14ac:dyDescent="0.4">
      <c r="A9" s="3" t="s">
        <v>34</v>
      </c>
      <c r="B9" s="5">
        <v>52</v>
      </c>
    </row>
    <row r="10" spans="1:4" x14ac:dyDescent="0.4">
      <c r="A10" s="3" t="s">
        <v>35</v>
      </c>
      <c r="B10" s="5">
        <v>123</v>
      </c>
    </row>
    <row r="11" spans="1:4" x14ac:dyDescent="0.4">
      <c r="A11" s="3"/>
      <c r="B11" s="5"/>
    </row>
    <row r="12" spans="1:4" x14ac:dyDescent="0.4">
      <c r="A12" s="3" t="s">
        <v>36</v>
      </c>
      <c r="B12" s="6">
        <f>B5/(B5+B6)</f>
        <v>0.50170995847243705</v>
      </c>
    </row>
    <row r="13" spans="1:4" x14ac:dyDescent="0.4">
      <c r="A13" s="3" t="s">
        <v>38</v>
      </c>
      <c r="B13" s="5">
        <f>B5/B4</f>
        <v>3.0110443239016762</v>
      </c>
    </row>
    <row r="14" spans="1:4" x14ac:dyDescent="0.4">
      <c r="A14" s="3" t="s">
        <v>37</v>
      </c>
      <c r="B14" s="5">
        <f>B7/B8</f>
        <v>65.008266315465022</v>
      </c>
    </row>
    <row r="15" spans="1:4" x14ac:dyDescent="0.4">
      <c r="A15" s="3" t="s">
        <v>39</v>
      </c>
      <c r="B15" s="5">
        <f>B9/B3</f>
        <v>5.1999999999999998E-2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52B4C-D170-470C-A40A-F1CE759826D7}">
  <sheetPr codeName="Sheet4"/>
  <dimension ref="A1:D16"/>
  <sheetViews>
    <sheetView workbookViewId="0">
      <selection activeCell="G16" sqref="G16"/>
    </sheetView>
  </sheetViews>
  <sheetFormatPr defaultRowHeight="14.6" x14ac:dyDescent="0.4"/>
  <cols>
    <col min="1" max="1" width="22.61328125" bestFit="1" customWidth="1"/>
    <col min="2" max="2" width="14.4609375" bestFit="1" customWidth="1"/>
    <col min="3" max="3" width="17.69140625" bestFit="1" customWidth="1"/>
    <col min="4" max="4" width="6.84375" bestFit="1" customWidth="1"/>
  </cols>
  <sheetData>
    <row r="1" spans="1:4" ht="20.6" x14ac:dyDescent="0.55000000000000004">
      <c r="A1" s="7" t="s">
        <v>46</v>
      </c>
    </row>
    <row r="2" spans="1:4" x14ac:dyDescent="0.4">
      <c r="A2" s="2" t="s">
        <v>17</v>
      </c>
      <c r="B2" s="4"/>
      <c r="C2" s="2" t="s">
        <v>28</v>
      </c>
      <c r="D2" s="1"/>
    </row>
    <row r="3" spans="1:4" x14ac:dyDescent="0.4">
      <c r="A3" s="3" t="s">
        <v>18</v>
      </c>
      <c r="B3" s="5">
        <v>1000</v>
      </c>
      <c r="C3" s="3" t="s">
        <v>21</v>
      </c>
      <c r="D3" s="5">
        <v>1000</v>
      </c>
    </row>
    <row r="4" spans="1:4" x14ac:dyDescent="0.4">
      <c r="A4" s="3" t="s">
        <v>29</v>
      </c>
      <c r="B4" s="5">
        <v>17944</v>
      </c>
      <c r="C4" s="3" t="s">
        <v>20</v>
      </c>
      <c r="D4" s="5">
        <v>2500</v>
      </c>
    </row>
    <row r="5" spans="1:4" x14ac:dyDescent="0.4">
      <c r="A5" s="3" t="s">
        <v>30</v>
      </c>
      <c r="B5" s="5">
        <v>32783</v>
      </c>
      <c r="C5" s="3" t="s">
        <v>13</v>
      </c>
      <c r="D5" s="6">
        <v>0.5</v>
      </c>
    </row>
    <row r="6" spans="1:4" x14ac:dyDescent="0.4">
      <c r="A6" s="3" t="s">
        <v>31</v>
      </c>
      <c r="B6" s="5">
        <v>33384</v>
      </c>
    </row>
    <row r="7" spans="1:4" x14ac:dyDescent="0.4">
      <c r="A7" s="3" t="s">
        <v>32</v>
      </c>
      <c r="B7" s="5">
        <v>2400000</v>
      </c>
    </row>
    <row r="8" spans="1:4" x14ac:dyDescent="0.4">
      <c r="A8" s="3" t="s">
        <v>33</v>
      </c>
      <c r="B8" s="5">
        <v>22743</v>
      </c>
    </row>
    <row r="9" spans="1:4" x14ac:dyDescent="0.4">
      <c r="A9" s="3" t="s">
        <v>45</v>
      </c>
      <c r="B9" s="5">
        <v>390215</v>
      </c>
    </row>
    <row r="10" spans="1:4" x14ac:dyDescent="0.4">
      <c r="A10" s="3" t="s">
        <v>43</v>
      </c>
      <c r="B10" s="5">
        <v>4401</v>
      </c>
    </row>
    <row r="11" spans="1:4" x14ac:dyDescent="0.4">
      <c r="A11" s="3" t="s">
        <v>44</v>
      </c>
      <c r="B11" s="5">
        <v>682</v>
      </c>
    </row>
    <row r="13" spans="1:4" x14ac:dyDescent="0.4">
      <c r="A13" s="3" t="s">
        <v>36</v>
      </c>
      <c r="B13" s="6">
        <f>B5/(B5+B6)</f>
        <v>0.49545846116644249</v>
      </c>
    </row>
    <row r="14" spans="1:4" x14ac:dyDescent="0.4">
      <c r="A14" s="3" t="s">
        <v>38</v>
      </c>
      <c r="B14" s="8">
        <f>B5/B4</f>
        <v>1.8269616584930897</v>
      </c>
    </row>
    <row r="15" spans="1:4" x14ac:dyDescent="0.4">
      <c r="A15" s="3" t="s">
        <v>37</v>
      </c>
      <c r="B15" s="8">
        <f>B7/B8</f>
        <v>105.52697533306952</v>
      </c>
    </row>
    <row r="16" spans="1:4" x14ac:dyDescent="0.4">
      <c r="A16" s="3" t="s">
        <v>48</v>
      </c>
      <c r="B16" s="8">
        <f>B7/((B8*100 + B9 + B10*20 +B11*400)/100)</f>
        <v>79.330057663035674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Introduction</vt:lpstr>
      <vt:lpstr>Underground Experiment</vt:lpstr>
      <vt:lpstr>Arena Experiment</vt:lpstr>
      <vt:lpstr>Results page 1</vt:lpstr>
      <vt:lpstr>Results page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FARBER, JESSE D Capt USAF AETC SOS/STUDENT</dc:creator>
  <cp:lastModifiedBy>FARBER, JESSE D Capt USAF AETC SOS/STUDENT</cp:lastModifiedBy>
  <dcterms:created xsi:type="dcterms:W3CDTF">2025-07-04T13:47:14Z</dcterms:created>
  <dcterms:modified xsi:type="dcterms:W3CDTF">2025-07-05T17:00:08Z</dcterms:modified>
</cp:coreProperties>
</file>